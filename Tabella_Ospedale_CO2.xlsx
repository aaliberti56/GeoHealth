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progettoGEO\"/>
    </mc:Choice>
  </mc:AlternateContent>
  <xr:revisionPtr revIDLastSave="0" documentId="13_ncr:1_{59CC8317-5273-4FE5-BE6B-DD45554E83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spedali_calore_inquina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32" i="1"/>
  <c r="I30" i="1"/>
  <c r="I7" i="1"/>
  <c r="I4" i="1"/>
  <c r="I18" i="1"/>
  <c r="I9" i="1"/>
  <c r="I3" i="1"/>
  <c r="I31" i="1"/>
  <c r="I25" i="1"/>
  <c r="I14" i="1"/>
  <c r="I22" i="1"/>
  <c r="I12" i="1"/>
  <c r="I29" i="1"/>
  <c r="I23" i="1"/>
  <c r="I2" i="1"/>
  <c r="I15" i="1"/>
  <c r="I5" i="1"/>
  <c r="I24" i="1"/>
  <c r="I11" i="1"/>
  <c r="I6" i="1"/>
  <c r="I10" i="1"/>
  <c r="I19" i="1"/>
  <c r="I16" i="1"/>
  <c r="I28" i="1"/>
  <c r="I17" i="1"/>
  <c r="I20" i="1"/>
  <c r="I8" i="1"/>
  <c r="I13" i="1"/>
  <c r="I33" i="1"/>
  <c r="I27" i="1"/>
  <c r="I26" i="1"/>
  <c r="H21" i="1"/>
  <c r="J21" i="1" s="1"/>
  <c r="H32" i="1"/>
  <c r="J32" i="1" s="1"/>
  <c r="H30" i="1"/>
  <c r="J30" i="1" s="1"/>
  <c r="H7" i="1"/>
  <c r="J7" i="1" s="1"/>
  <c r="H4" i="1"/>
  <c r="J4" i="1" s="1"/>
  <c r="H18" i="1"/>
  <c r="J18" i="1" s="1"/>
  <c r="H9" i="1"/>
  <c r="J9" i="1" s="1"/>
  <c r="H3" i="1"/>
  <c r="J3" i="1" s="1"/>
  <c r="H31" i="1"/>
  <c r="J31" i="1" s="1"/>
  <c r="H25" i="1"/>
  <c r="J25" i="1" s="1"/>
  <c r="H14" i="1"/>
  <c r="J14" i="1" s="1"/>
  <c r="H22" i="1"/>
  <c r="J22" i="1" s="1"/>
  <c r="H12" i="1"/>
  <c r="J12" i="1" s="1"/>
  <c r="H29" i="1"/>
  <c r="J29" i="1" s="1"/>
  <c r="H23" i="1"/>
  <c r="J23" i="1" s="1"/>
  <c r="H2" i="1"/>
  <c r="J2" i="1" s="1"/>
  <c r="H15" i="1"/>
  <c r="J15" i="1" s="1"/>
  <c r="H5" i="1"/>
  <c r="J5" i="1" s="1"/>
  <c r="H24" i="1"/>
  <c r="J24" i="1" s="1"/>
  <c r="H11" i="1"/>
  <c r="J11" i="1" s="1"/>
  <c r="H6" i="1"/>
  <c r="J6" i="1" s="1"/>
  <c r="H10" i="1"/>
  <c r="J10" i="1" s="1"/>
  <c r="H19" i="1"/>
  <c r="J19" i="1" s="1"/>
  <c r="H16" i="1"/>
  <c r="J16" i="1" s="1"/>
  <c r="H28" i="1"/>
  <c r="J28" i="1" s="1"/>
  <c r="H17" i="1"/>
  <c r="J17" i="1" s="1"/>
  <c r="H20" i="1"/>
  <c r="J20" i="1" s="1"/>
  <c r="H8" i="1"/>
  <c r="J8" i="1" s="1"/>
  <c r="H13" i="1"/>
  <c r="J13" i="1" s="1"/>
  <c r="H33" i="1"/>
  <c r="J33" i="1" s="1"/>
  <c r="H27" i="1"/>
  <c r="J27" i="1" s="1"/>
  <c r="H26" i="1"/>
  <c r="J26" i="1" s="1"/>
</calcChain>
</file>

<file path=xl/sharedStrings.xml><?xml version="1.0" encoding="utf-8"?>
<sst xmlns="http://schemas.openxmlformats.org/spreadsheetml/2006/main" count="70" uniqueCount="38">
  <si>
    <t>healthcare</t>
  </si>
  <si>
    <t>name</t>
  </si>
  <si>
    <t>Temp_2024_1</t>
  </si>
  <si>
    <t>NO2_1</t>
  </si>
  <si>
    <t>hospital</t>
  </si>
  <si>
    <t>Clinica San Felice</t>
  </si>
  <si>
    <t>San Giuliano</t>
  </si>
  <si>
    <t>Presidio Sanitario Raffaele Apicella</t>
  </si>
  <si>
    <t>Ospedale Nuovo di Gragnano</t>
  </si>
  <si>
    <t>Ospedale Santa Maria delle Grazie</t>
  </si>
  <si>
    <t>Clinica Villa Stabia</t>
  </si>
  <si>
    <t>Ospedale San Leonardo</t>
  </si>
  <si>
    <t>Presidio Ospedaliero Cardinale Ascalesi</t>
  </si>
  <si>
    <t>Centro Traumatologico Ortopedico</t>
  </si>
  <si>
    <t>Ospedale San Paolo</t>
  </si>
  <si>
    <t>Ospedale Evangelico Villa Betania</t>
  </si>
  <si>
    <t>Ospedale A. Rizzoli</t>
  </si>
  <si>
    <t>Ospedale Antonio Cardarelli</t>
  </si>
  <si>
    <t>Ospedale Santa Maria di Loreto Mare</t>
  </si>
  <si>
    <t>Ospedale Capilupi</t>
  </si>
  <si>
    <t>Ospedale Civile di Boscotrecase</t>
  </si>
  <si>
    <t>Villa dei Fiori</t>
  </si>
  <si>
    <t>Ospedale Santa Maria della Pietà</t>
  </si>
  <si>
    <t>Ospedale del Mare</t>
  </si>
  <si>
    <t>Presidio Ospedaliero Pausillipon</t>
  </si>
  <si>
    <t>Ospedale Fatebenefratelli</t>
  </si>
  <si>
    <t>Presidio Ospedaliero «Santissima Annunziata»</t>
  </si>
  <si>
    <t>Ospedale di Sorrento</t>
  </si>
  <si>
    <t>Ospedale San Giovanni Bosco</t>
  </si>
  <si>
    <t>Poliambulatorio "Stefania Bellone"</t>
  </si>
  <si>
    <t>Distretto Sanitario di Villaricca (DS 39)</t>
  </si>
  <si>
    <t>Clinica Hera</t>
  </si>
  <si>
    <t>Ospedale Vincenzo Monaldi</t>
  </si>
  <si>
    <t>Ospedale Cotugno</t>
  </si>
  <si>
    <t>Ospedale Civile di Frattamaggiore "San Giovanni di Dio"</t>
  </si>
  <si>
    <t>Temp_Punteggio</t>
  </si>
  <si>
    <t>NO2_Punteggio</t>
  </si>
  <si>
    <t>Indice_Stress_Ambientale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</si>
</sst>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J23" sqref="J23"/>
    </sheetView>
  </sheetViews>
  <sheetFormatPr defaultRowHeight="12.75" x14ac:dyDescent="0.2"/>
  <cols>
    <col min="1" max="7" width="15"/>
    <col min="8" max="8" width="16.85546875" customWidth="1"/>
    <col min="9" max="9" width="15"/>
    <col min="10" max="10" width="27" customWidth="1"/>
    <col min="11" max="988" width="15"/>
  </cols>
  <sheetData>
    <row r="1" spans="1:10" x14ac:dyDescent="0.2">
      <c r="B1" t="s">
        <v>0</v>
      </c>
      <c r="C1" t="s">
        <v>1</v>
      </c>
      <c r="E1" t="s">
        <v>2</v>
      </c>
      <c r="F1" t="s">
        <v>3</v>
      </c>
      <c r="H1" s="1" t="s">
        <v>35</v>
      </c>
      <c r="I1" s="1" t="s">
        <v>36</v>
      </c>
      <c r="J1" s="1" t="s">
        <v>37</v>
      </c>
    </row>
    <row r="2" spans="1:10" x14ac:dyDescent="0.2">
      <c r="A2">
        <v>19</v>
      </c>
      <c r="B2" t="s">
        <v>4</v>
      </c>
      <c r="C2" t="s">
        <v>22</v>
      </c>
      <c r="E2" s="2">
        <v>39.188000000000052</v>
      </c>
      <c r="F2" s="2">
        <v>1.352111511068004E-4</v>
      </c>
      <c r="H2">
        <f>((E2-MIN($E$2:$E$30))/(MAX($E$2:$E$30)-MIN($E$2:$E$30)))*100</f>
        <v>92.40917545420875</v>
      </c>
      <c r="I2">
        <f>((F2-MIN($F$2:$F$30))/(MAX($F$2:$F$30)-MIN($F$2:$F$30)))*100</f>
        <v>100</v>
      </c>
      <c r="J2">
        <f>(H2+I2)/2</f>
        <v>96.204587727104382</v>
      </c>
    </row>
    <row r="3" spans="1:10" x14ac:dyDescent="0.2">
      <c r="A3">
        <v>18</v>
      </c>
      <c r="B3" t="s">
        <v>4</v>
      </c>
      <c r="C3" t="s">
        <v>21</v>
      </c>
      <c r="E3" s="2">
        <v>39.601212121212143</v>
      </c>
      <c r="F3" s="2">
        <v>1.331564202879889E-4</v>
      </c>
      <c r="H3">
        <f>((E3-MIN($E$2:$E$30))/(MAX($E$2:$E$30)-MIN($E$2:$E$30)))*100</f>
        <v>96.211000309362007</v>
      </c>
      <c r="I3">
        <f>((F3-MIN($F$2:$F$30))/(MAX($F$2:$F$30)-MIN($F$2:$F$30)))*100</f>
        <v>95.347238009461506</v>
      </c>
      <c r="J3">
        <f>(H3+I3)/2</f>
        <v>95.779119159411749</v>
      </c>
    </row>
    <row r="4" spans="1:10" x14ac:dyDescent="0.2">
      <c r="A4">
        <v>27</v>
      </c>
      <c r="B4" t="s">
        <v>4</v>
      </c>
      <c r="C4" t="s">
        <v>29</v>
      </c>
      <c r="E4" s="2">
        <v>39.481641791044808</v>
      </c>
      <c r="F4" s="2">
        <v>1.3048266725170909E-4</v>
      </c>
      <c r="H4">
        <f>((E4-MIN($E$2:$E$30))/(MAX($E$2:$E$30)-MIN($E$2:$E$30)))*100</f>
        <v>95.110874175995932</v>
      </c>
      <c r="I4">
        <f>((F4-MIN($F$2:$F$30))/(MAX($F$2:$F$30)-MIN($F$2:$F$30)))*100</f>
        <v>89.292753214959163</v>
      </c>
      <c r="J4">
        <f>(H4+I4)/2</f>
        <v>92.20181369547754</v>
      </c>
    </row>
    <row r="5" spans="1:10" x14ac:dyDescent="0.2">
      <c r="A5">
        <v>1</v>
      </c>
      <c r="B5" t="s">
        <v>4</v>
      </c>
      <c r="C5" t="s">
        <v>5</v>
      </c>
      <c r="E5" s="2">
        <v>39.370571428571452</v>
      </c>
      <c r="F5" s="2">
        <v>1.2725403267279319E-4</v>
      </c>
      <c r="H5">
        <f>((E5-MIN($E$2:$E$30))/(MAX($E$2:$E$30)-MIN($E$2:$E$30)))*100</f>
        <v>94.088953368146861</v>
      </c>
      <c r="I5">
        <f>((F5-MIN($F$2:$F$30))/(MAX($F$2:$F$30)-MIN($F$2:$F$30)))*100</f>
        <v>81.981786682220246</v>
      </c>
      <c r="J5">
        <f>(H5+I5)/2</f>
        <v>88.035370025183553</v>
      </c>
    </row>
    <row r="6" spans="1:10" x14ac:dyDescent="0.2">
      <c r="A6">
        <v>32</v>
      </c>
      <c r="B6" t="s">
        <v>4</v>
      </c>
      <c r="C6" t="s">
        <v>34</v>
      </c>
      <c r="E6" s="2">
        <v>40.013030303030348</v>
      </c>
      <c r="F6" s="2">
        <v>1.237409501364949E-4</v>
      </c>
      <c r="H6">
        <f>((E6-MIN($E$2:$E$30))/(MAX($E$2:$E$30)-MIN($E$2:$E$30)))*100</f>
        <v>100</v>
      </c>
      <c r="I6">
        <f>((F6-MIN($F$2:$F$30))/(MAX($F$2:$F$30)-MIN($F$2:$F$30)))*100</f>
        <v>74.026712107552683</v>
      </c>
      <c r="J6">
        <f>(H6+I6)/2</f>
        <v>87.013356053776334</v>
      </c>
    </row>
    <row r="7" spans="1:10" x14ac:dyDescent="0.2">
      <c r="A7">
        <v>26</v>
      </c>
      <c r="B7" t="s">
        <v>4</v>
      </c>
      <c r="C7" t="s">
        <v>28</v>
      </c>
      <c r="E7" s="2">
        <v>36.976666666666688</v>
      </c>
      <c r="F7" s="2">
        <v>1.3275604821813531E-4</v>
      </c>
      <c r="H7">
        <f>((E7-MIN($E$2:$E$30))/(MAX($E$2:$E$30)-MIN($E$2:$E$30)))*100</f>
        <v>72.063445989557906</v>
      </c>
      <c r="I7">
        <f>((F7-MIN($F$2:$F$30))/(MAX($F$2:$F$30)-MIN($F$2:$F$30)))*100</f>
        <v>94.440629741539823</v>
      </c>
      <c r="J7">
        <f>(H7+I7)/2</f>
        <v>83.252037865548857</v>
      </c>
    </row>
    <row r="8" spans="1:10" x14ac:dyDescent="0.2">
      <c r="A8">
        <v>15</v>
      </c>
      <c r="B8" t="s">
        <v>4</v>
      </c>
      <c r="C8" t="s">
        <v>18</v>
      </c>
      <c r="E8" s="2">
        <v>37.467534246575383</v>
      </c>
      <c r="F8" s="2">
        <v>1.2939131532963539E-4</v>
      </c>
      <c r="H8">
        <f>((E8-MIN($E$2:$E$30))/(MAX($E$2:$E$30)-MIN($E$2:$E$30)))*100</f>
        <v>76.579752433840412</v>
      </c>
      <c r="I8">
        <f>((F8-MIN($F$2:$F$30))/(MAX($F$2:$F$30)-MIN($F$2:$F$30)))*100</f>
        <v>86.821480240982581</v>
      </c>
      <c r="J8">
        <f>(H8+I8)/2</f>
        <v>81.700616337411503</v>
      </c>
    </row>
    <row r="9" spans="1:10" x14ac:dyDescent="0.2">
      <c r="A9">
        <v>8</v>
      </c>
      <c r="B9" t="s">
        <v>4</v>
      </c>
      <c r="C9" t="s">
        <v>12</v>
      </c>
      <c r="E9" s="2">
        <v>37.467534246575383</v>
      </c>
      <c r="F9" s="2">
        <v>1.275322084874396E-4</v>
      </c>
      <c r="H9">
        <f>((E9-MIN($E$2:$E$30))/(MAX($E$2:$E$30)-MIN($E$2:$E$30)))*100</f>
        <v>76.579752433840412</v>
      </c>
      <c r="I9">
        <f>((F9-MIN($F$2:$F$30))/(MAX($F$2:$F$30)-MIN($F$2:$F$30)))*100</f>
        <v>82.611691994013128</v>
      </c>
      <c r="J9">
        <f>(H9+I9)/2</f>
        <v>79.595722213926763</v>
      </c>
    </row>
    <row r="10" spans="1:10" x14ac:dyDescent="0.2">
      <c r="A10">
        <v>24</v>
      </c>
      <c r="B10" t="s">
        <v>4</v>
      </c>
      <c r="C10" t="s">
        <v>26</v>
      </c>
      <c r="E10" s="2">
        <v>37.467534246575383</v>
      </c>
      <c r="F10" s="2">
        <v>1.275322084874396E-4</v>
      </c>
      <c r="H10">
        <f>((E10-MIN($E$2:$E$30))/(MAX($E$2:$E$30)-MIN($E$2:$E$30)))*100</f>
        <v>76.579752433840412</v>
      </c>
      <c r="I10">
        <f>((F10-MIN($F$2:$F$30))/(MAX($F$2:$F$30)-MIN($F$2:$F$30)))*100</f>
        <v>82.611691994013128</v>
      </c>
      <c r="J10">
        <f>(H10+I10)/2</f>
        <v>79.595722213926763</v>
      </c>
    </row>
    <row r="11" spans="1:10" x14ac:dyDescent="0.2">
      <c r="A11">
        <v>12</v>
      </c>
      <c r="B11" t="s">
        <v>4</v>
      </c>
      <c r="C11" t="s">
        <v>15</v>
      </c>
      <c r="E11" s="2">
        <v>38.025068493150741</v>
      </c>
      <c r="F11" s="2">
        <v>1.2472270870364971E-4</v>
      </c>
      <c r="H11">
        <f>((E11-MIN($E$2:$E$30))/(MAX($E$2:$E$30)-MIN($E$2:$E$30)))*100</f>
        <v>81.709436311485874</v>
      </c>
      <c r="I11">
        <f>((F11-MIN($F$2:$F$30))/(MAX($F$2:$F$30)-MIN($F$2:$F$30)))*100</f>
        <v>76.249820313904294</v>
      </c>
      <c r="J11">
        <f>(H11+I11)/2</f>
        <v>78.979628312695084</v>
      </c>
    </row>
    <row r="12" spans="1:10" x14ac:dyDescent="0.2">
      <c r="A12">
        <v>20</v>
      </c>
      <c r="B12" t="s">
        <v>4</v>
      </c>
      <c r="C12" t="s">
        <v>23</v>
      </c>
      <c r="E12" s="2">
        <v>38.013142857142903</v>
      </c>
      <c r="F12" s="2">
        <v>1.199680300690786E-4</v>
      </c>
      <c r="H12">
        <f>((E12-MIN($E$2:$E$30))/(MAX($E$2:$E$30)-MIN($E$2:$E$30)))*100</f>
        <v>81.599712571400246</v>
      </c>
      <c r="I12">
        <f>((F12-MIN($F$2:$F$30))/(MAX($F$2:$F$30)-MIN($F$2:$F$30)))*100</f>
        <v>65.483257693816682</v>
      </c>
      <c r="J12">
        <f>(H12+I12)/2</f>
        <v>73.541485132608472</v>
      </c>
    </row>
    <row r="13" spans="1:10" x14ac:dyDescent="0.2">
      <c r="A13">
        <v>21</v>
      </c>
      <c r="B13" t="s">
        <v>4</v>
      </c>
      <c r="C13" t="s">
        <v>23</v>
      </c>
      <c r="E13" s="2">
        <v>38.013142857142903</v>
      </c>
      <c r="F13" s="2">
        <v>1.199680300690786E-4</v>
      </c>
      <c r="H13">
        <f>((E13-MIN($E$2:$E$30))/(MAX($E$2:$E$30)-MIN($E$2:$E$30)))*100</f>
        <v>81.599712571400246</v>
      </c>
      <c r="I13">
        <f>((F13-MIN($F$2:$F$30))/(MAX($F$2:$F$30)-MIN($F$2:$F$30)))*100</f>
        <v>65.483257693816682</v>
      </c>
      <c r="J13">
        <f>(H13+I13)/2</f>
        <v>73.541485132608472</v>
      </c>
    </row>
    <row r="14" spans="1:10" x14ac:dyDescent="0.2">
      <c r="A14">
        <v>10</v>
      </c>
      <c r="B14" t="s">
        <v>4</v>
      </c>
      <c r="C14" t="s">
        <v>13</v>
      </c>
      <c r="E14" s="2">
        <v>35.313098591549313</v>
      </c>
      <c r="F14" s="2">
        <v>1.2486784628951191E-4</v>
      </c>
      <c r="H14">
        <f>((E14-MIN($E$2:$E$30))/(MAX($E$2:$E$30)-MIN($E$2:$E$30)))*100</f>
        <v>56.757519247456202</v>
      </c>
      <c r="I14">
        <f>((F14-MIN($F$2:$F$30))/(MAX($F$2:$F$30)-MIN($F$2:$F$30)))*100</f>
        <v>76.578471948812251</v>
      </c>
      <c r="J14">
        <f>(H14+I14)/2</f>
        <v>66.667995598134226</v>
      </c>
    </row>
    <row r="15" spans="1:10" x14ac:dyDescent="0.2">
      <c r="A15">
        <v>2</v>
      </c>
      <c r="B15" t="s">
        <v>4</v>
      </c>
      <c r="C15" t="s">
        <v>6</v>
      </c>
      <c r="E15" s="2">
        <v>39.037536231884083</v>
      </c>
      <c r="F15" s="2">
        <v>1.067053920271125E-4</v>
      </c>
      <c r="H15">
        <f>((E15-MIN($E$2:$E$30))/(MAX($E$2:$E$30)-MIN($E$2:$E$30)))*100</f>
        <v>91.024809255692276</v>
      </c>
      <c r="I15">
        <f>((F15-MIN($F$2:$F$30))/(MAX($F$2:$F$30)-MIN($F$2:$F$30)))*100</f>
        <v>35.451149540777543</v>
      </c>
      <c r="J15">
        <f>(H15+I15)/2</f>
        <v>63.237979398234913</v>
      </c>
    </row>
    <row r="16" spans="1:10" x14ac:dyDescent="0.2">
      <c r="A16">
        <v>29</v>
      </c>
      <c r="B16" t="s">
        <v>4</v>
      </c>
      <c r="C16" t="s">
        <v>31</v>
      </c>
      <c r="E16" s="2">
        <v>39.037536231884083</v>
      </c>
      <c r="F16" s="2">
        <v>1.067053920271125E-4</v>
      </c>
      <c r="H16">
        <f>((E16-MIN($E$2:$E$30))/(MAX($E$2:$E$30)-MIN($E$2:$E$30)))*100</f>
        <v>91.024809255692276</v>
      </c>
      <c r="I16">
        <f>((F16-MIN($F$2:$F$30))/(MAX($F$2:$F$30)-MIN($F$2:$F$30)))*100</f>
        <v>35.451149540777543</v>
      </c>
      <c r="J16">
        <f>(H16+I16)/2</f>
        <v>63.237979398234913</v>
      </c>
    </row>
    <row r="17" spans="1:10" x14ac:dyDescent="0.2">
      <c r="A17">
        <v>3</v>
      </c>
      <c r="B17" t="s">
        <v>4</v>
      </c>
      <c r="C17" t="s">
        <v>7</v>
      </c>
      <c r="E17" s="2">
        <v>37.058985507246398</v>
      </c>
      <c r="F17" s="2">
        <v>1.139886975205972E-4</v>
      </c>
      <c r="H17">
        <f>((E17-MIN($E$2:$E$30))/(MAX($E$2:$E$30)-MIN($E$2:$E$30)))*100</f>
        <v>72.820833776840914</v>
      </c>
      <c r="I17">
        <f>((F17-MIN($F$2:$F$30))/(MAX($F$2:$F$30)-MIN($F$2:$F$30)))*100</f>
        <v>51.943571154021754</v>
      </c>
      <c r="J17">
        <f>(H17+I17)/2</f>
        <v>62.382202465431334</v>
      </c>
    </row>
    <row r="18" spans="1:10" x14ac:dyDescent="0.2">
      <c r="A18">
        <v>28</v>
      </c>
      <c r="B18" t="s">
        <v>4</v>
      </c>
      <c r="C18" t="s">
        <v>30</v>
      </c>
      <c r="E18" s="2">
        <v>38.674637681159481</v>
      </c>
      <c r="F18" s="2">
        <v>1.0470353761654869E-4</v>
      </c>
      <c r="H18">
        <f>((E18-MIN($E$2:$E$30))/(MAX($E$2:$E$30)-MIN($E$2:$E$30)))*100</f>
        <v>87.685902531473175</v>
      </c>
      <c r="I18">
        <f>((F18-MIN($F$2:$F$30))/(MAX($F$2:$F$30)-MIN($F$2:$F$30)))*100</f>
        <v>30.918121648856101</v>
      </c>
      <c r="J18">
        <f>(H18+I18)/2</f>
        <v>59.302012090164638</v>
      </c>
    </row>
    <row r="19" spans="1:10" x14ac:dyDescent="0.2">
      <c r="A19">
        <v>9</v>
      </c>
      <c r="B19" t="s">
        <v>4</v>
      </c>
      <c r="E19" s="2">
        <v>36.628857142857207</v>
      </c>
      <c r="F19" s="2">
        <v>1.113189552561144E-4</v>
      </c>
      <c r="H19">
        <f>((E19-MIN($E$2:$E$30))/(MAX($E$2:$E$30)-MIN($E$2:$E$30)))*100</f>
        <v>68.863368294355936</v>
      </c>
      <c r="I19">
        <f>((F19-MIN($F$2:$F$30))/(MAX($F$2:$F$30)-MIN($F$2:$F$30)))*100</f>
        <v>45.898168408807322</v>
      </c>
      <c r="J19">
        <f>(H19+I19)/2</f>
        <v>57.380768351581629</v>
      </c>
    </row>
    <row r="20" spans="1:10" x14ac:dyDescent="0.2">
      <c r="A20">
        <v>17</v>
      </c>
      <c r="B20" t="s">
        <v>4</v>
      </c>
      <c r="C20" t="s">
        <v>20</v>
      </c>
      <c r="E20" s="2">
        <v>37.875428571428593</v>
      </c>
      <c r="F20" s="2">
        <v>1.025160445644116E-4</v>
      </c>
      <c r="H20">
        <f>((E20-MIN($E$2:$E$30))/(MAX($E$2:$E$30)-MIN($E$2:$E$30)))*100</f>
        <v>80.33265004476732</v>
      </c>
      <c r="I20">
        <f>((F20-MIN($F$2:$F$30))/(MAX($F$2:$F$30)-MIN($F$2:$F$30)))*100</f>
        <v>25.964730949514959</v>
      </c>
      <c r="J20">
        <f>(H20+I20)/2</f>
        <v>53.148690497141139</v>
      </c>
    </row>
    <row r="21" spans="1:10" x14ac:dyDescent="0.2">
      <c r="A21">
        <v>14</v>
      </c>
      <c r="B21" t="s">
        <v>4</v>
      </c>
      <c r="C21" t="s">
        <v>17</v>
      </c>
      <c r="E21" s="2">
        <v>35.237941176470599</v>
      </c>
      <c r="F21" s="2">
        <v>1.120716115436995E-4</v>
      </c>
      <c r="H21">
        <f>((E21-MIN($E$2:$E$30))/(MAX($E$2:$E$30)-MIN($E$2:$E$30)))*100</f>
        <v>56.066021312068514</v>
      </c>
      <c r="I21">
        <f>((F21-MIN($F$2:$F$30))/(MAX($F$2:$F$30)-MIN($F$2:$F$30)))*100</f>
        <v>47.602494121331247</v>
      </c>
      <c r="J21">
        <f>(H21+I21)/2</f>
        <v>51.834257716699881</v>
      </c>
    </row>
    <row r="22" spans="1:10" x14ac:dyDescent="0.2">
      <c r="A22">
        <v>30</v>
      </c>
      <c r="B22" t="s">
        <v>4</v>
      </c>
      <c r="C22" t="s">
        <v>32</v>
      </c>
      <c r="E22" s="2">
        <v>34.321142857142888</v>
      </c>
      <c r="F22" s="2">
        <v>1.1021442467201911E-4</v>
      </c>
      <c r="H22">
        <f>((E22-MIN($E$2:$E$30))/(MAX($E$2:$E$30)-MIN($E$2:$E$30)))*100</f>
        <v>47.630870311757434</v>
      </c>
      <c r="I22">
        <f>((F22-MIN($F$2:$F$30))/(MAX($F$2:$F$30)-MIN($F$2:$F$30)))*100</f>
        <v>43.397053483184891</v>
      </c>
      <c r="J22">
        <f>(H22+I22)/2</f>
        <v>45.513961897471162</v>
      </c>
    </row>
    <row r="23" spans="1:10" x14ac:dyDescent="0.2">
      <c r="A23">
        <v>31</v>
      </c>
      <c r="B23" t="s">
        <v>4</v>
      </c>
      <c r="C23" t="s">
        <v>33</v>
      </c>
      <c r="E23" s="2">
        <v>34.321142857142888</v>
      </c>
      <c r="F23" s="2">
        <v>1.1021442467201911E-4</v>
      </c>
      <c r="H23">
        <f>((E23-MIN($E$2:$E$30))/(MAX($E$2:$E$30)-MIN($E$2:$E$30)))*100</f>
        <v>47.630870311757434</v>
      </c>
      <c r="I23">
        <f>((F23-MIN($F$2:$F$30))/(MAX($F$2:$F$30)-MIN($F$2:$F$30)))*100</f>
        <v>43.397053483184891</v>
      </c>
      <c r="J23">
        <f>(H23+I23)/2</f>
        <v>45.513961897471162</v>
      </c>
    </row>
    <row r="24" spans="1:10" x14ac:dyDescent="0.2">
      <c r="A24">
        <v>11</v>
      </c>
      <c r="B24" t="s">
        <v>4</v>
      </c>
      <c r="C24" t="s">
        <v>14</v>
      </c>
      <c r="E24" s="2">
        <v>34.804594594594619</v>
      </c>
      <c r="F24" s="2">
        <v>1.033939110954829E-4</v>
      </c>
      <c r="H24">
        <f>((E24-MIN($E$2:$E$30))/(MAX($E$2:$E$30)-MIN($E$2:$E$30)))*100</f>
        <v>52.078946099852772</v>
      </c>
      <c r="I24">
        <f>((F24-MIN($F$2:$F$30))/(MAX($F$2:$F$30)-MIN($F$2:$F$30)))*100</f>
        <v>27.952584536534687</v>
      </c>
      <c r="J24">
        <f>(H24+I24)/2</f>
        <v>40.015765318193729</v>
      </c>
    </row>
    <row r="25" spans="1:10" x14ac:dyDescent="0.2">
      <c r="A25">
        <v>23</v>
      </c>
      <c r="B25" t="s">
        <v>4</v>
      </c>
      <c r="C25" t="s">
        <v>25</v>
      </c>
      <c r="E25" s="2">
        <v>34.414788732394413</v>
      </c>
      <c r="F25" s="2">
        <v>1.027531841955491E-4</v>
      </c>
      <c r="H25">
        <f>((E25-MIN($E$2:$E$30))/(MAX($E$2:$E$30)-MIN($E$2:$E$30)))*100</f>
        <v>48.492474310859606</v>
      </c>
      <c r="I25">
        <f>((F25-MIN($F$2:$F$30))/(MAX($F$2:$F$30)-MIN($F$2:$F$30)))*100</f>
        <v>26.501713337721434</v>
      </c>
      <c r="J25">
        <f>(H25+I25)/2</f>
        <v>37.497093824290516</v>
      </c>
    </row>
    <row r="26" spans="1:10" x14ac:dyDescent="0.2">
      <c r="A26">
        <v>4</v>
      </c>
      <c r="B26" t="s">
        <v>4</v>
      </c>
      <c r="C26" t="s">
        <v>8</v>
      </c>
      <c r="E26" s="2">
        <v>34.505555555555588</v>
      </c>
      <c r="F26" s="2">
        <v>9.1824398586449674E-5</v>
      </c>
      <c r="H26">
        <f>((E26-MIN($E$2:$E$30))/(MAX($E$2:$E$30)-MIN($E$2:$E$30)))*100</f>
        <v>49.327589126236326</v>
      </c>
      <c r="I26">
        <f>((F26-MIN($F$2:$F$30))/(MAX($F$2:$F$30)-MIN($F$2:$F$30)))*100</f>
        <v>1.7544141687850536</v>
      </c>
      <c r="J26">
        <f>(H26+I26)/2</f>
        <v>25.54100164751069</v>
      </c>
    </row>
    <row r="27" spans="1:10" x14ac:dyDescent="0.2">
      <c r="A27">
        <v>5</v>
      </c>
      <c r="B27" t="s">
        <v>4</v>
      </c>
      <c r="C27" t="s">
        <v>9</v>
      </c>
      <c r="E27" s="2">
        <v>32.667333333333367</v>
      </c>
      <c r="F27" s="2">
        <v>9.1049622470909536E-5</v>
      </c>
      <c r="H27">
        <f>((E27-MIN($E$2:$E$30))/(MAX($E$2:$E$30)-MIN($E$2:$E$30)))*100</f>
        <v>32.414728696974009</v>
      </c>
      <c r="I27">
        <f>((F27-MIN($F$2:$F$30))/(MAX($F$2:$F$30)-MIN($F$2:$F$30)))*100</f>
        <v>0</v>
      </c>
      <c r="J27">
        <f>(H27+I27)/2</f>
        <v>16.207364348487005</v>
      </c>
    </row>
    <row r="28" spans="1:10" x14ac:dyDescent="0.2">
      <c r="A28">
        <v>6</v>
      </c>
      <c r="B28" t="s">
        <v>4</v>
      </c>
      <c r="C28" t="s">
        <v>10</v>
      </c>
      <c r="E28" s="2">
        <v>30.860625000000031</v>
      </c>
      <c r="F28" s="2">
        <v>9.3566141060836208E-5</v>
      </c>
      <c r="H28">
        <f>((E28-MIN($E$2:$E$30))/(MAX($E$2:$E$30)-MIN($E$2:$E$30)))*100</f>
        <v>15.791816891940961</v>
      </c>
      <c r="I28">
        <f>((F28-MIN($F$2:$F$30))/(MAX($F$2:$F$30)-MIN($F$2:$F$30)))*100</f>
        <v>5.6984408548789496</v>
      </c>
      <c r="J28">
        <f>(H28+I28)/2</f>
        <v>10.745128873409955</v>
      </c>
    </row>
    <row r="29" spans="1:10" x14ac:dyDescent="0.2">
      <c r="A29">
        <v>7</v>
      </c>
      <c r="B29" t="s">
        <v>4</v>
      </c>
      <c r="C29" t="s">
        <v>11</v>
      </c>
      <c r="E29" s="2">
        <v>30.860625000000031</v>
      </c>
      <c r="F29" s="2">
        <v>9.3566141060836208E-5</v>
      </c>
      <c r="H29">
        <f>((E29-MIN($E$2:$E$30))/(MAX($E$2:$E$30)-MIN($E$2:$E$30)))*100</f>
        <v>15.791816891940961</v>
      </c>
      <c r="I29">
        <f>((F29-MIN($F$2:$F$30))/(MAX($F$2:$F$30)-MIN($F$2:$F$30)))*100</f>
        <v>5.6984408548789496</v>
      </c>
      <c r="J29">
        <f>(H29+I29)/2</f>
        <v>10.745128873409955</v>
      </c>
    </row>
    <row r="30" spans="1:10" x14ac:dyDescent="0.2">
      <c r="A30">
        <v>25</v>
      </c>
      <c r="B30" t="s">
        <v>4</v>
      </c>
      <c r="C30" t="s">
        <v>27</v>
      </c>
      <c r="E30" s="2">
        <v>29.144246575342489</v>
      </c>
      <c r="F30" s="2">
        <v>9.2242997498847304E-5</v>
      </c>
      <c r="H30">
        <f>((E30-MIN($E$2:$E$30))/(MAX($E$2:$E$30)-MIN($E$2:$E$30)))*100</f>
        <v>0</v>
      </c>
      <c r="I30">
        <f>((F30-MIN($F$2:$F$30))/(MAX($F$2:$F$30)-MIN($F$2:$F$30)))*100</f>
        <v>2.702295560864918</v>
      </c>
      <c r="J30">
        <f>(H30+I30)/2</f>
        <v>1.351147780432459</v>
      </c>
    </row>
    <row r="31" spans="1:10" x14ac:dyDescent="0.2">
      <c r="A31">
        <v>13</v>
      </c>
      <c r="B31" t="s">
        <v>4</v>
      </c>
      <c r="C31" t="s">
        <v>16</v>
      </c>
      <c r="E31" s="2">
        <v>30.016111111111119</v>
      </c>
      <c r="F31" s="2">
        <v>8.5019475852868563E-5</v>
      </c>
      <c r="H31">
        <f>((E31-MIN($E$2:$E$30))/(MAX($E$2:$E$30)-MIN($E$2:$E$30)))*100</f>
        <v>8.0217304678497232</v>
      </c>
      <c r="I31">
        <f>((F31-MIN($F$2:$F$30))/(MAX($F$2:$F$30)-MIN($F$2:$F$30)))*100</f>
        <v>-13.654750649052861</v>
      </c>
      <c r="J31">
        <f>(H31+I31)/2</f>
        <v>-2.816510090601569</v>
      </c>
    </row>
    <row r="32" spans="1:10" x14ac:dyDescent="0.2">
      <c r="A32">
        <v>16</v>
      </c>
      <c r="B32" t="s">
        <v>4</v>
      </c>
      <c r="C32" t="s">
        <v>19</v>
      </c>
      <c r="E32" s="2">
        <v>28.415070422535219</v>
      </c>
      <c r="F32" s="2">
        <v>8.7228431697912985E-5</v>
      </c>
      <c r="H32">
        <f>((E32-MIN($E$2:$E$30))/(MAX($E$2:$E$30)-MIN($E$2:$E$30)))*100</f>
        <v>-6.7089029561763951</v>
      </c>
      <c r="I32">
        <f>((F32-MIN($F$2:$F$30))/(MAX($F$2:$F$30)-MIN($F$2:$F$30)))*100</f>
        <v>-8.6527592930535491</v>
      </c>
      <c r="J32">
        <f>(H32+I32)/2</f>
        <v>-7.6808311246149721</v>
      </c>
    </row>
    <row r="33" spans="1:10" x14ac:dyDescent="0.2">
      <c r="A33">
        <v>22</v>
      </c>
      <c r="B33" t="s">
        <v>4</v>
      </c>
      <c r="C33" t="s">
        <v>24</v>
      </c>
      <c r="E33" s="2"/>
      <c r="F33" s="2">
        <v>1.023126317418257E-4</v>
      </c>
      <c r="H33">
        <f>((E33-MIN($E$2:$E$30))/(MAX($E$2:$E$30)-MIN($E$2:$E$30)))*100</f>
        <v>-268.14634742522759</v>
      </c>
      <c r="I33">
        <f>((F33-MIN($F$2:$F$30))/(MAX($F$2:$F$30)-MIN($F$2:$F$30)))*100</f>
        <v>25.50412003121313</v>
      </c>
      <c r="J33">
        <f>(H33+I33)/2</f>
        <v>-121.32111369700723</v>
      </c>
    </row>
  </sheetData>
  <sortState xmlns:xlrd2="http://schemas.microsoft.com/office/spreadsheetml/2017/richdata2" ref="A1:J33">
    <sortCondition descending="1" ref="J1:J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ospedali_calore_inquinamento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ALIBERTI</cp:lastModifiedBy>
  <cp:revision>0</cp:revision>
  <dcterms:modified xsi:type="dcterms:W3CDTF">2026-06-10T19:19:16Z</dcterms:modified>
</cp:coreProperties>
</file>